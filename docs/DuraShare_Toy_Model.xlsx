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atoslopes/Library/CloudStorage/Dropbox/01. Produto Digital/00. GRIFORTIS/00. GitHub-GRIFORTIS/schiavinato-sharing/docs/"/>
    </mc:Choice>
  </mc:AlternateContent>
  <xr:revisionPtr revIDLastSave="0" documentId="13_ncr:1_{1E4F68A9-7718-5149-BC40-9F70E25EFCEE}" xr6:coauthVersionLast="47" xr6:coauthVersionMax="47" xr10:uidLastSave="{00000000-0000-0000-0000-000000000000}"/>
  <bookViews>
    <workbookView xWindow="43820" yWindow="-5860" windowWidth="33880" windowHeight="20180" xr2:uid="{B0FBF7AD-289E-484F-A12F-94E7EACDEC07}"/>
  </bookViews>
  <sheets>
    <sheet name="Simple View" sheetId="1" r:id="rId1"/>
    <sheet name="Table Vi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" i="2" l="1"/>
  <c r="E28" i="2"/>
  <c r="G28" i="2"/>
  <c r="H28" i="2"/>
  <c r="D29" i="2"/>
  <c r="E29" i="2"/>
  <c r="G29" i="2"/>
  <c r="H29" i="2"/>
  <c r="D30" i="2"/>
  <c r="E30" i="2"/>
  <c r="G30" i="2"/>
  <c r="H30" i="2"/>
  <c r="C29" i="2"/>
  <c r="C30" i="2"/>
  <c r="C28" i="2"/>
  <c r="U5" i="2"/>
  <c r="N9" i="2"/>
  <c r="Z4" i="1"/>
  <c r="Y4" i="1"/>
  <c r="U4" i="1"/>
  <c r="T4" i="1"/>
  <c r="P4" i="1"/>
  <c r="O4" i="1"/>
  <c r="C24" i="1"/>
  <c r="B24" i="1"/>
  <c r="C21" i="1"/>
  <c r="B21" i="1"/>
  <c r="C19" i="1"/>
  <c r="B19" i="1"/>
  <c r="C17" i="1"/>
  <c r="B17" i="1"/>
  <c r="B14" i="1"/>
  <c r="B12" i="1"/>
  <c r="C14" i="1"/>
  <c r="C12" i="1"/>
  <c r="Y9" i="2"/>
  <c r="Z9" i="2"/>
  <c r="X9" i="2"/>
  <c r="AB9" i="2" s="1"/>
  <c r="Y5" i="2"/>
  <c r="Z5" i="2"/>
  <c r="X5" i="2"/>
  <c r="AB5" i="2" s="1"/>
  <c r="R9" i="2"/>
  <c r="S9" i="2"/>
  <c r="Q9" i="2"/>
  <c r="U9" i="2" s="1"/>
  <c r="R5" i="2"/>
  <c r="S5" i="2"/>
  <c r="Q5" i="2"/>
  <c r="G15" i="2"/>
  <c r="F14" i="2"/>
  <c r="F13" i="2"/>
  <c r="D13" i="2"/>
  <c r="E13" i="2"/>
  <c r="D14" i="2"/>
  <c r="E14" i="2"/>
  <c r="S13" i="2" s="1"/>
  <c r="C13" i="2"/>
  <c r="C14" i="2"/>
  <c r="F5" i="2"/>
  <c r="F10" i="2"/>
  <c r="F9" i="2"/>
  <c r="F6" i="2"/>
  <c r="K9" i="2"/>
  <c r="L9" i="2"/>
  <c r="J9" i="2"/>
  <c r="K5" i="2"/>
  <c r="L5" i="2"/>
  <c r="J5" i="2"/>
  <c r="N5" i="2" s="1"/>
  <c r="E6" i="1"/>
  <c r="T6" i="1" s="1"/>
  <c r="F6" i="1"/>
  <c r="Y6" i="1" s="1"/>
  <c r="G6" i="1"/>
  <c r="U6" i="1" s="1"/>
  <c r="E7" i="1"/>
  <c r="O7" i="1" s="1"/>
  <c r="F7" i="1"/>
  <c r="Y7" i="1" s="1"/>
  <c r="G7" i="1"/>
  <c r="U7" i="1" s="1"/>
  <c r="E8" i="1"/>
  <c r="O8" i="1" s="1"/>
  <c r="F8" i="1"/>
  <c r="Y8" i="1" s="1"/>
  <c r="G8" i="1"/>
  <c r="U8" i="1" s="1"/>
  <c r="E9" i="1"/>
  <c r="O9" i="1" s="1"/>
  <c r="F9" i="1"/>
  <c r="Y9" i="1" s="1"/>
  <c r="G9" i="1"/>
  <c r="U9" i="1" s="1"/>
  <c r="E10" i="1"/>
  <c r="O10" i="1" s="1"/>
  <c r="F10" i="1"/>
  <c r="Y10" i="1" s="1"/>
  <c r="G10" i="1"/>
  <c r="Z10" i="1" s="1"/>
  <c r="F5" i="1"/>
  <c r="P5" i="1" s="1"/>
  <c r="G5" i="1"/>
  <c r="Z5" i="1" s="1"/>
  <c r="E5" i="1"/>
  <c r="T5" i="1" s="1"/>
  <c r="Y13" i="2" l="1"/>
  <c r="M13" i="2"/>
  <c r="K8" i="1"/>
  <c r="Q4" i="1"/>
  <c r="K5" i="1"/>
  <c r="L5" i="1"/>
  <c r="L8" i="1"/>
  <c r="J5" i="1"/>
  <c r="G19" i="1"/>
  <c r="Z19" i="1" s="1"/>
  <c r="V4" i="1"/>
  <c r="P9" i="1"/>
  <c r="Q9" i="1" s="1"/>
  <c r="R9" i="1" s="1"/>
  <c r="AA4" i="1"/>
  <c r="J8" i="1"/>
  <c r="G17" i="1"/>
  <c r="Z17" i="1" s="1"/>
  <c r="G12" i="1"/>
  <c r="U12" i="1" s="1"/>
  <c r="F19" i="1"/>
  <c r="P19" i="1" s="1"/>
  <c r="G24" i="1"/>
  <c r="Z24" i="1" s="1"/>
  <c r="E22" i="1"/>
  <c r="E17" i="1"/>
  <c r="T17" i="1" s="1"/>
  <c r="F17" i="1"/>
  <c r="P17" i="1" s="1"/>
  <c r="E19" i="1"/>
  <c r="G21" i="1"/>
  <c r="U21" i="1" s="1"/>
  <c r="N15" i="2"/>
  <c r="AA13" i="2"/>
  <c r="F20" i="1"/>
  <c r="G22" i="1"/>
  <c r="AA9" i="2"/>
  <c r="T5" i="2"/>
  <c r="R14" i="2"/>
  <c r="J13" i="2"/>
  <c r="E18" i="1"/>
  <c r="F18" i="1"/>
  <c r="E20" i="1"/>
  <c r="G18" i="1"/>
  <c r="AB15" i="2"/>
  <c r="G20" i="1"/>
  <c r="T13" i="2"/>
  <c r="F25" i="1"/>
  <c r="E25" i="1"/>
  <c r="E21" i="1"/>
  <c r="F22" i="1"/>
  <c r="F24" i="1"/>
  <c r="F21" i="1"/>
  <c r="G25" i="1"/>
  <c r="E24" i="1"/>
  <c r="G14" i="1"/>
  <c r="Z14" i="1"/>
  <c r="E14" i="1"/>
  <c r="F14" i="1"/>
  <c r="P8" i="1"/>
  <c r="Q8" i="1" s="1"/>
  <c r="T8" i="1"/>
  <c r="V8" i="1" s="1"/>
  <c r="E13" i="1"/>
  <c r="F12" i="1"/>
  <c r="P12" i="1" s="1"/>
  <c r="Z7" i="1"/>
  <c r="AA7" i="1" s="1"/>
  <c r="F13" i="1"/>
  <c r="E15" i="1"/>
  <c r="G13" i="1"/>
  <c r="E12" i="1"/>
  <c r="G15" i="1"/>
  <c r="F15" i="1"/>
  <c r="T9" i="1"/>
  <c r="V9" i="1" s="1"/>
  <c r="W9" i="1" s="1"/>
  <c r="Z9" i="1"/>
  <c r="AA9" i="1" s="1"/>
  <c r="AB9" i="1" s="1"/>
  <c r="Z8" i="1"/>
  <c r="AA8" i="1" s="1"/>
  <c r="O6" i="1"/>
  <c r="U15" i="2"/>
  <c r="P10" i="1"/>
  <c r="Q10" i="1" s="1"/>
  <c r="R10" i="1" s="1"/>
  <c r="T9" i="2"/>
  <c r="Z13" i="2"/>
  <c r="T10" i="2"/>
  <c r="Z14" i="2"/>
  <c r="M10" i="2"/>
  <c r="L13" i="2"/>
  <c r="R13" i="2"/>
  <c r="M6" i="2"/>
  <c r="AA5" i="2"/>
  <c r="AB13" i="2" s="1"/>
  <c r="Q13" i="2"/>
  <c r="X13" i="2"/>
  <c r="O5" i="1"/>
  <c r="Q5" i="1" s="1"/>
  <c r="Y14" i="2"/>
  <c r="S14" i="2"/>
  <c r="AA10" i="2"/>
  <c r="G14" i="2"/>
  <c r="Q14" i="2"/>
  <c r="T6" i="2"/>
  <c r="K13" i="2"/>
  <c r="G13" i="2"/>
  <c r="L14" i="2"/>
  <c r="K14" i="2"/>
  <c r="M9" i="2"/>
  <c r="J14" i="2"/>
  <c r="M5" i="2"/>
  <c r="AA10" i="1"/>
  <c r="AB10" i="1" s="1"/>
  <c r="P7" i="1"/>
  <c r="Q7" i="1" s="1"/>
  <c r="T10" i="1"/>
  <c r="Y5" i="1"/>
  <c r="AA5" i="1" s="1"/>
  <c r="U5" i="1"/>
  <c r="V5" i="1" s="1"/>
  <c r="U10" i="1"/>
  <c r="Z6" i="1"/>
  <c r="AA6" i="1" s="1"/>
  <c r="V6" i="1"/>
  <c r="T7" i="1"/>
  <c r="V7" i="1" s="1"/>
  <c r="P6" i="1"/>
  <c r="U19" i="1" l="1"/>
  <c r="U24" i="1"/>
  <c r="Z12" i="1"/>
  <c r="G26" i="1"/>
  <c r="U17" i="1"/>
  <c r="V17" i="1"/>
  <c r="W17" i="1" s="1"/>
  <c r="O17" i="1"/>
  <c r="Q17" i="1" s="1"/>
  <c r="R17" i="1" s="1"/>
  <c r="Y19" i="1"/>
  <c r="AA19" i="1" s="1"/>
  <c r="AB19" i="1" s="1"/>
  <c r="Z21" i="1"/>
  <c r="O19" i="1"/>
  <c r="Q19" i="1" s="1"/>
  <c r="R19" i="1" s="1"/>
  <c r="T19" i="1"/>
  <c r="V19" i="1" s="1"/>
  <c r="W19" i="1" s="1"/>
  <c r="G27" i="1"/>
  <c r="Y17" i="1"/>
  <c r="AA17" i="1" s="1"/>
  <c r="AB17" i="1" s="1"/>
  <c r="R5" i="1"/>
  <c r="Q18" i="1"/>
  <c r="W7" i="1"/>
  <c r="W6" i="1"/>
  <c r="V20" i="1"/>
  <c r="AB6" i="1"/>
  <c r="AA20" i="1"/>
  <c r="AB8" i="1"/>
  <c r="AA15" i="1"/>
  <c r="R7" i="1"/>
  <c r="Q22" i="1"/>
  <c r="F26" i="1"/>
  <c r="W5" i="1"/>
  <c r="V18" i="1"/>
  <c r="V13" i="1"/>
  <c r="AB7" i="1"/>
  <c r="AA22" i="1"/>
  <c r="AB5" i="1"/>
  <c r="AA25" i="1"/>
  <c r="AA18" i="1"/>
  <c r="AA13" i="1"/>
  <c r="U14" i="2"/>
  <c r="W8" i="1"/>
  <c r="R8" i="1"/>
  <c r="Q15" i="1"/>
  <c r="N13" i="2"/>
  <c r="AB14" i="2"/>
  <c r="E26" i="1"/>
  <c r="U13" i="2"/>
  <c r="U14" i="1"/>
  <c r="N14" i="2"/>
  <c r="P24" i="1"/>
  <c r="Y24" i="1"/>
  <c r="AA24" i="1" s="1"/>
  <c r="AB24" i="1" s="1"/>
  <c r="T21" i="1"/>
  <c r="V21" i="1" s="1"/>
  <c r="W21" i="1" s="1"/>
  <c r="E27" i="1"/>
  <c r="O21" i="1"/>
  <c r="F27" i="1"/>
  <c r="Y21" i="1"/>
  <c r="P21" i="1"/>
  <c r="T24" i="1"/>
  <c r="V24" i="1" s="1"/>
  <c r="W24" i="1" s="1"/>
  <c r="O24" i="1"/>
  <c r="O14" i="1"/>
  <c r="T14" i="1"/>
  <c r="V14" i="1" s="1"/>
  <c r="W14" i="1" s="1"/>
  <c r="Y12" i="1"/>
  <c r="AA12" i="1" s="1"/>
  <c r="P14" i="1"/>
  <c r="Y14" i="1"/>
  <c r="AA14" i="1" s="1"/>
  <c r="AB14" i="1" s="1"/>
  <c r="T12" i="1"/>
  <c r="V12" i="1" s="1"/>
  <c r="O12" i="1"/>
  <c r="Q12" i="1" s="1"/>
  <c r="Q6" i="1"/>
  <c r="AA6" i="2"/>
  <c r="X14" i="2"/>
  <c r="V10" i="1"/>
  <c r="W10" i="1" s="1"/>
  <c r="V15" i="1" l="1"/>
  <c r="AA21" i="1"/>
  <c r="AB21" i="1" s="1"/>
  <c r="Q21" i="1"/>
  <c r="R21" i="1" s="1"/>
  <c r="V25" i="1"/>
  <c r="V22" i="1"/>
  <c r="AA27" i="1"/>
  <c r="R6" i="1"/>
  <c r="Q20" i="1"/>
  <c r="W12" i="1"/>
  <c r="V26" i="1"/>
  <c r="V27" i="1"/>
  <c r="Q25" i="1"/>
  <c r="AB12" i="1"/>
  <c r="AA26" i="1"/>
  <c r="Q13" i="1"/>
  <c r="R12" i="1"/>
  <c r="Q24" i="1"/>
  <c r="R24" i="1" s="1"/>
  <c r="Q14" i="1"/>
  <c r="R14" i="1" s="1"/>
  <c r="Q27" i="1" l="1"/>
  <c r="Q26" i="1"/>
</calcChain>
</file>

<file path=xl/sharedStrings.xml><?xml version="1.0" encoding="utf-8"?>
<sst xmlns="http://schemas.openxmlformats.org/spreadsheetml/2006/main" count="94" uniqueCount="39">
  <si>
    <t>Secret</t>
  </si>
  <si>
    <t>Random</t>
  </si>
  <si>
    <t>W1</t>
  </si>
  <si>
    <t>W2</t>
  </si>
  <si>
    <t>W3</t>
  </si>
  <si>
    <t>W4</t>
  </si>
  <si>
    <t>W5</t>
  </si>
  <si>
    <t>W6</t>
  </si>
  <si>
    <t>Row #</t>
  </si>
  <si>
    <t>RC1</t>
  </si>
  <si>
    <t>RC2</t>
  </si>
  <si>
    <t>CC1</t>
  </si>
  <si>
    <t>CC2</t>
  </si>
  <si>
    <t>CC3</t>
  </si>
  <si>
    <t>GIC</t>
  </si>
  <si>
    <t>Word #</t>
  </si>
  <si>
    <t>Share(x)</t>
  </si>
  <si>
    <t>Lagrange</t>
  </si>
  <si>
    <t>Column #</t>
  </si>
  <si>
    <t>Sanity</t>
  </si>
  <si>
    <t>Recovery Process</t>
  </si>
  <si>
    <t>Shares</t>
  </si>
  <si>
    <t>MAT</t>
  </si>
  <si>
    <t>u1</t>
  </si>
  <si>
    <t>u2</t>
  </si>
  <si>
    <t>u3</t>
  </si>
  <si>
    <t>b1</t>
  </si>
  <si>
    <t>b2</t>
  </si>
  <si>
    <t>MAT2</t>
  </si>
  <si>
    <t>MAT1</t>
  </si>
  <si>
    <t>Share 1 MAT</t>
  </si>
  <si>
    <t>Share 2 MAT</t>
  </si>
  <si>
    <t>Share 3 MAT</t>
  </si>
  <si>
    <t>Manifest MAT Keys</t>
  </si>
  <si>
    <t>Share</t>
  </si>
  <si>
    <t>Whole-Key Manifest</t>
  </si>
  <si>
    <t>Split-Key Manifest A</t>
  </si>
  <si>
    <t>Split-Key Manifest b</t>
  </si>
  <si>
    <t>Sharing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</si>
</sst>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7B1C-8DAD-1A47-A14C-FFCC252AF7F4}">
  <dimension ref="A1:AB27"/>
  <sheetViews>
    <sheetView tabSelected="1" zoomScaleNormal="100" workbookViewId="0"/>
  </sheetViews>
  <sheetFormatPr baseColWidth="10" defaultRowHeight="16" x14ac:dyDescent="0.2"/>
  <cols>
    <col min="1" max="1" width="6.83203125" bestFit="1" customWidth="1"/>
    <col min="2" max="2" width="6.5" bestFit="1" customWidth="1"/>
    <col min="3" max="3" width="7.83203125" bestFit="1" customWidth="1"/>
    <col min="4" max="4" width="3.33203125" customWidth="1"/>
    <col min="5" max="7" width="4.33203125" customWidth="1"/>
    <col min="8" max="8" width="3.33203125" customWidth="1"/>
    <col min="9" max="9" width="6.6640625" bestFit="1" customWidth="1"/>
    <col min="10" max="12" width="4.33203125" customWidth="1"/>
    <col min="13" max="13" width="3.33203125" customWidth="1"/>
    <col min="14" max="14" width="8.33203125" bestFit="1" customWidth="1"/>
    <col min="15" max="18" width="5.6640625" customWidth="1"/>
    <col min="19" max="19" width="3.33203125" customWidth="1"/>
    <col min="20" max="23" width="5.6640625" customWidth="1"/>
    <col min="24" max="24" width="3.33203125" customWidth="1"/>
    <col min="25" max="25" width="8" customWidth="1"/>
    <col min="26" max="28" width="5.6640625" customWidth="1"/>
  </cols>
  <sheetData>
    <row r="1" spans="1:28" x14ac:dyDescent="0.2">
      <c r="E1" t="s">
        <v>38</v>
      </c>
      <c r="I1" t="s">
        <v>22</v>
      </c>
      <c r="N1" t="s">
        <v>20</v>
      </c>
    </row>
    <row r="2" spans="1:28" x14ac:dyDescent="0.2">
      <c r="E2" t="s">
        <v>16</v>
      </c>
      <c r="N2" t="s">
        <v>21</v>
      </c>
      <c r="O2">
        <v>1</v>
      </c>
      <c r="P2">
        <v>2</v>
      </c>
      <c r="T2">
        <v>1</v>
      </c>
      <c r="U2">
        <v>3</v>
      </c>
      <c r="Y2">
        <v>2</v>
      </c>
      <c r="Z2">
        <v>3</v>
      </c>
    </row>
    <row r="3" spans="1:28" x14ac:dyDescent="0.2">
      <c r="E3">
        <v>1</v>
      </c>
      <c r="F3">
        <v>2</v>
      </c>
      <c r="G3">
        <v>3</v>
      </c>
      <c r="I3" t="s">
        <v>21</v>
      </c>
      <c r="J3">
        <v>1</v>
      </c>
      <c r="K3">
        <v>2</v>
      </c>
      <c r="L3">
        <v>3</v>
      </c>
      <c r="N3" t="s">
        <v>17</v>
      </c>
      <c r="O3">
        <v>2</v>
      </c>
      <c r="P3">
        <v>10</v>
      </c>
      <c r="T3">
        <v>7</v>
      </c>
      <c r="U3">
        <v>5</v>
      </c>
      <c r="Y3">
        <v>3</v>
      </c>
      <c r="Z3">
        <v>9</v>
      </c>
    </row>
    <row r="4" spans="1:28" x14ac:dyDescent="0.2">
      <c r="A4" t="s">
        <v>15</v>
      </c>
      <c r="B4" t="s">
        <v>0</v>
      </c>
      <c r="C4" t="s">
        <v>1</v>
      </c>
      <c r="N4" t="s">
        <v>19</v>
      </c>
      <c r="O4">
        <f>MOD(O3*O2,11)</f>
        <v>2</v>
      </c>
      <c r="P4">
        <f>MOD(P3*P2,11)</f>
        <v>9</v>
      </c>
      <c r="Q4">
        <f>MOD(SUM(O4:P4),11)</f>
        <v>0</v>
      </c>
      <c r="T4">
        <f>MOD(T3*T2,11)</f>
        <v>7</v>
      </c>
      <c r="U4">
        <f>MOD(U3*U2,11)</f>
        <v>4</v>
      </c>
      <c r="V4">
        <f>MOD(SUM(T4:U4),11)</f>
        <v>0</v>
      </c>
      <c r="Y4">
        <f>MOD(Y3*Y2,11)</f>
        <v>6</v>
      </c>
      <c r="Z4">
        <f>MOD(Z3*Z2,11)</f>
        <v>5</v>
      </c>
      <c r="AA4">
        <f>MOD(SUM(Y4:Z4),11)</f>
        <v>0</v>
      </c>
    </row>
    <row r="5" spans="1:28" x14ac:dyDescent="0.2">
      <c r="A5">
        <v>1</v>
      </c>
      <c r="B5">
        <v>1</v>
      </c>
      <c r="C5">
        <v>4</v>
      </c>
      <c r="E5">
        <f>MOD($B5+($C5*E$3),11)</f>
        <v>5</v>
      </c>
      <c r="F5">
        <f t="shared" ref="F5:G10" si="0">MOD($B5+($C5*F$3),11)</f>
        <v>9</v>
      </c>
      <c r="G5">
        <f t="shared" si="0"/>
        <v>2</v>
      </c>
      <c r="I5" t="s">
        <v>29</v>
      </c>
      <c r="J5">
        <f>MOD(SUM(J16*E5,J17*E6,J18*E7,J19),11)</f>
        <v>4</v>
      </c>
      <c r="K5">
        <f>MOD(SUM(K16*F5,K17*F6,K18*F7,K19),11)</f>
        <v>10</v>
      </c>
      <c r="L5">
        <f>MOD(SUM(L16*G5,L17*G6,L18*G7,L19),11)</f>
        <v>5</v>
      </c>
      <c r="O5">
        <f>$E5*O$3</f>
        <v>10</v>
      </c>
      <c r="P5">
        <f>$F5*P$3</f>
        <v>90</v>
      </c>
      <c r="Q5">
        <f>MOD(SUM(O5:P5),11)</f>
        <v>1</v>
      </c>
      <c r="R5" t="b">
        <f t="shared" ref="R5:R10" si="1">Q5=B5</f>
        <v>1</v>
      </c>
      <c r="T5">
        <f>$E5*T$3</f>
        <v>35</v>
      </c>
      <c r="U5">
        <f>$G5*U$3</f>
        <v>10</v>
      </c>
      <c r="V5">
        <f>MOD(SUM(T5:U5),11)</f>
        <v>1</v>
      </c>
      <c r="W5" t="b">
        <f>V5=$B5</f>
        <v>1</v>
      </c>
      <c r="Y5">
        <f>$F5*Y$3</f>
        <v>27</v>
      </c>
      <c r="Z5">
        <f>$G5*Z$3</f>
        <v>18</v>
      </c>
      <c r="AA5">
        <f>MOD(SUM(Y5:Z5),11)</f>
        <v>1</v>
      </c>
      <c r="AB5" t="b">
        <f>AA5=$B5</f>
        <v>1</v>
      </c>
    </row>
    <row r="6" spans="1:28" x14ac:dyDescent="0.2">
      <c r="A6">
        <v>2</v>
      </c>
      <c r="B6">
        <v>10</v>
      </c>
      <c r="C6">
        <v>1</v>
      </c>
      <c r="E6">
        <f t="shared" ref="E6:G14" si="2">MOD($B6+($C6*E$3),11)</f>
        <v>0</v>
      </c>
      <c r="F6">
        <f t="shared" si="0"/>
        <v>1</v>
      </c>
      <c r="G6">
        <f t="shared" si="0"/>
        <v>2</v>
      </c>
      <c r="O6">
        <f t="shared" ref="O6:O14" si="3">$E6*O$3</f>
        <v>0</v>
      </c>
      <c r="P6">
        <f t="shared" ref="P6:P14" si="4">$F6*P$3</f>
        <v>10</v>
      </c>
      <c r="Q6">
        <f t="shared" ref="Q6:Q10" si="5">MOD(SUM(O6:P6),11)</f>
        <v>10</v>
      </c>
      <c r="R6" t="b">
        <f t="shared" si="1"/>
        <v>1</v>
      </c>
      <c r="T6">
        <f t="shared" ref="T6:T14" si="6">$E6*T$3</f>
        <v>0</v>
      </c>
      <c r="U6">
        <f t="shared" ref="U6:U14" si="7">$G6*U$3</f>
        <v>10</v>
      </c>
      <c r="V6">
        <f t="shared" ref="V6:V10" si="8">MOD(SUM(T6:U6),11)</f>
        <v>10</v>
      </c>
      <c r="W6" t="b">
        <f t="shared" ref="W6:W14" si="9">V6=$B6</f>
        <v>1</v>
      </c>
      <c r="Y6">
        <f t="shared" ref="Y6:Y14" si="10">$F6*Y$3</f>
        <v>3</v>
      </c>
      <c r="Z6">
        <f t="shared" ref="Z6:Z14" si="11">$G6*Z$3</f>
        <v>18</v>
      </c>
      <c r="AA6">
        <f t="shared" ref="AA6:AA10" si="12">MOD(SUM(Y6:Z6),11)</f>
        <v>10</v>
      </c>
      <c r="AB6" t="b">
        <f t="shared" ref="AB6:AB14" si="13">AA6=$B6</f>
        <v>1</v>
      </c>
    </row>
    <row r="7" spans="1:28" x14ac:dyDescent="0.2">
      <c r="A7">
        <v>3</v>
      </c>
      <c r="B7">
        <v>3</v>
      </c>
      <c r="C7">
        <v>0</v>
      </c>
      <c r="E7">
        <f t="shared" si="2"/>
        <v>3</v>
      </c>
      <c r="F7">
        <f t="shared" si="0"/>
        <v>3</v>
      </c>
      <c r="G7">
        <f t="shared" si="0"/>
        <v>3</v>
      </c>
      <c r="O7">
        <f t="shared" si="3"/>
        <v>6</v>
      </c>
      <c r="P7">
        <f t="shared" si="4"/>
        <v>30</v>
      </c>
      <c r="Q7">
        <f t="shared" si="5"/>
        <v>3</v>
      </c>
      <c r="R7" t="b">
        <f t="shared" si="1"/>
        <v>1</v>
      </c>
      <c r="T7">
        <f t="shared" si="6"/>
        <v>21</v>
      </c>
      <c r="U7">
        <f t="shared" si="7"/>
        <v>15</v>
      </c>
      <c r="V7">
        <f t="shared" si="8"/>
        <v>3</v>
      </c>
      <c r="W7" t="b">
        <f t="shared" si="9"/>
        <v>1</v>
      </c>
      <c r="Y7">
        <f t="shared" si="10"/>
        <v>9</v>
      </c>
      <c r="Z7">
        <f t="shared" si="11"/>
        <v>27</v>
      </c>
      <c r="AA7">
        <f t="shared" si="12"/>
        <v>3</v>
      </c>
      <c r="AB7" t="b">
        <f t="shared" si="13"/>
        <v>1</v>
      </c>
    </row>
    <row r="8" spans="1:28" x14ac:dyDescent="0.2">
      <c r="A8">
        <v>4</v>
      </c>
      <c r="B8">
        <v>5</v>
      </c>
      <c r="C8">
        <v>4</v>
      </c>
      <c r="E8">
        <f t="shared" si="2"/>
        <v>9</v>
      </c>
      <c r="F8">
        <f t="shared" si="0"/>
        <v>2</v>
      </c>
      <c r="G8">
        <f t="shared" si="0"/>
        <v>6</v>
      </c>
      <c r="I8" t="s">
        <v>28</v>
      </c>
      <c r="J8">
        <f>MOD(SUM(J16*E8,J17*E9,J18*E10,J20),11)</f>
        <v>8</v>
      </c>
      <c r="K8">
        <f>MOD(SUM(K16*F8,K17*F9,K18*F10,K20),11)</f>
        <v>7</v>
      </c>
      <c r="L8">
        <f>MOD(SUM(L16*G8,L17*G9,L18*G10,L20),11)</f>
        <v>8</v>
      </c>
      <c r="O8">
        <f t="shared" si="3"/>
        <v>18</v>
      </c>
      <c r="P8">
        <f t="shared" si="4"/>
        <v>20</v>
      </c>
      <c r="Q8">
        <f t="shared" si="5"/>
        <v>5</v>
      </c>
      <c r="R8" t="b">
        <f t="shared" si="1"/>
        <v>1</v>
      </c>
      <c r="T8">
        <f t="shared" si="6"/>
        <v>63</v>
      </c>
      <c r="U8">
        <f t="shared" si="7"/>
        <v>30</v>
      </c>
      <c r="V8">
        <f t="shared" si="8"/>
        <v>5</v>
      </c>
      <c r="W8" t="b">
        <f t="shared" si="9"/>
        <v>1</v>
      </c>
      <c r="Y8">
        <f t="shared" si="10"/>
        <v>6</v>
      </c>
      <c r="Z8">
        <f t="shared" si="11"/>
        <v>54</v>
      </c>
      <c r="AA8">
        <f t="shared" si="12"/>
        <v>5</v>
      </c>
      <c r="AB8" t="b">
        <f t="shared" si="13"/>
        <v>1</v>
      </c>
    </row>
    <row r="9" spans="1:28" x14ac:dyDescent="0.2">
      <c r="A9">
        <v>5</v>
      </c>
      <c r="B9">
        <v>6</v>
      </c>
      <c r="C9">
        <v>10</v>
      </c>
      <c r="E9">
        <f t="shared" si="2"/>
        <v>5</v>
      </c>
      <c r="F9">
        <f t="shared" si="0"/>
        <v>4</v>
      </c>
      <c r="G9">
        <f t="shared" si="0"/>
        <v>3</v>
      </c>
      <c r="O9">
        <f t="shared" si="3"/>
        <v>10</v>
      </c>
      <c r="P9">
        <f t="shared" si="4"/>
        <v>40</v>
      </c>
      <c r="Q9">
        <f t="shared" si="5"/>
        <v>6</v>
      </c>
      <c r="R9" t="b">
        <f t="shared" si="1"/>
        <v>1</v>
      </c>
      <c r="T9">
        <f t="shared" si="6"/>
        <v>35</v>
      </c>
      <c r="U9">
        <f t="shared" si="7"/>
        <v>15</v>
      </c>
      <c r="V9">
        <f t="shared" si="8"/>
        <v>6</v>
      </c>
      <c r="W9" t="b">
        <f t="shared" si="9"/>
        <v>1</v>
      </c>
      <c r="Y9">
        <f t="shared" si="10"/>
        <v>12</v>
      </c>
      <c r="Z9">
        <f t="shared" si="11"/>
        <v>27</v>
      </c>
      <c r="AA9">
        <f t="shared" si="12"/>
        <v>6</v>
      </c>
      <c r="AB9" t="b">
        <f t="shared" si="13"/>
        <v>1</v>
      </c>
    </row>
    <row r="10" spans="1:28" x14ac:dyDescent="0.2">
      <c r="A10">
        <v>6</v>
      </c>
      <c r="B10">
        <v>1</v>
      </c>
      <c r="C10">
        <v>3</v>
      </c>
      <c r="E10">
        <f t="shared" si="2"/>
        <v>4</v>
      </c>
      <c r="F10">
        <f t="shared" si="0"/>
        <v>7</v>
      </c>
      <c r="G10">
        <f t="shared" si="0"/>
        <v>10</v>
      </c>
      <c r="O10">
        <f t="shared" si="3"/>
        <v>8</v>
      </c>
      <c r="P10">
        <f t="shared" si="4"/>
        <v>70</v>
      </c>
      <c r="Q10">
        <f t="shared" si="5"/>
        <v>1</v>
      </c>
      <c r="R10" t="b">
        <f t="shared" si="1"/>
        <v>1</v>
      </c>
      <c r="T10">
        <f t="shared" si="6"/>
        <v>28</v>
      </c>
      <c r="U10">
        <f t="shared" si="7"/>
        <v>50</v>
      </c>
      <c r="V10">
        <f t="shared" si="8"/>
        <v>1</v>
      </c>
      <c r="W10" t="b">
        <f t="shared" si="9"/>
        <v>1</v>
      </c>
      <c r="Y10">
        <f t="shared" si="10"/>
        <v>21</v>
      </c>
      <c r="Z10">
        <f t="shared" si="11"/>
        <v>90</v>
      </c>
      <c r="AA10">
        <f t="shared" si="12"/>
        <v>1</v>
      </c>
      <c r="AB10" t="b">
        <f t="shared" si="13"/>
        <v>1</v>
      </c>
    </row>
    <row r="12" spans="1:28" x14ac:dyDescent="0.2">
      <c r="A12" t="s">
        <v>9</v>
      </c>
      <c r="B12">
        <f>MOD(SUM(B5:B7,1),11)</f>
        <v>4</v>
      </c>
      <c r="C12">
        <f>MOD(SUM(C5:C7),11)</f>
        <v>5</v>
      </c>
      <c r="E12">
        <f t="shared" si="2"/>
        <v>9</v>
      </c>
      <c r="F12">
        <f t="shared" si="2"/>
        <v>3</v>
      </c>
      <c r="G12">
        <f t="shared" si="2"/>
        <v>8</v>
      </c>
      <c r="I12" t="s">
        <v>33</v>
      </c>
      <c r="O12">
        <f t="shared" si="3"/>
        <v>18</v>
      </c>
      <c r="P12">
        <f t="shared" si="4"/>
        <v>30</v>
      </c>
      <c r="Q12">
        <f t="shared" ref="Q12" si="14">MOD(SUM(O12:P12),11)</f>
        <v>4</v>
      </c>
      <c r="R12" t="b">
        <f>Q12=B12</f>
        <v>1</v>
      </c>
      <c r="T12">
        <f t="shared" si="6"/>
        <v>63</v>
      </c>
      <c r="U12">
        <f t="shared" si="7"/>
        <v>40</v>
      </c>
      <c r="V12">
        <f t="shared" ref="V12" si="15">MOD(SUM(T12:U12),11)</f>
        <v>4</v>
      </c>
      <c r="W12" t="b">
        <f t="shared" si="9"/>
        <v>1</v>
      </c>
      <c r="Y12">
        <f t="shared" si="10"/>
        <v>9</v>
      </c>
      <c r="Z12">
        <f t="shared" si="11"/>
        <v>72</v>
      </c>
      <c r="AA12">
        <f t="shared" ref="AA12" si="16">MOD(SUM(Y12:Z12),11)</f>
        <v>4</v>
      </c>
      <c r="AB12" t="b">
        <f t="shared" si="13"/>
        <v>1</v>
      </c>
    </row>
    <row r="13" spans="1:28" x14ac:dyDescent="0.2">
      <c r="E13">
        <f>MOD(SUM(E5:E7,1),11)</f>
        <v>9</v>
      </c>
      <c r="F13">
        <f t="shared" ref="F13:G13" si="17">MOD(SUM(F5:F7,1),11)</f>
        <v>3</v>
      </c>
      <c r="G13">
        <f t="shared" si="17"/>
        <v>8</v>
      </c>
      <c r="Q13">
        <f t="shared" ref="Q13" si="18">MOD(SUM(Q5:Q7,1),11)</f>
        <v>4</v>
      </c>
      <c r="V13">
        <f t="shared" ref="V13" si="19">MOD(SUM(V5:V7,1),11)</f>
        <v>4</v>
      </c>
      <c r="AA13">
        <f t="shared" ref="AA13" si="20">MOD(SUM(AA5:AA7,1),11)</f>
        <v>4</v>
      </c>
    </row>
    <row r="14" spans="1:28" x14ac:dyDescent="0.2">
      <c r="A14" t="s">
        <v>10</v>
      </c>
      <c r="B14">
        <f>MOD(SUM(B8:B10,2),11)</f>
        <v>3</v>
      </c>
      <c r="C14">
        <f>MOD(SUM(C8:C10),11)</f>
        <v>6</v>
      </c>
      <c r="E14">
        <f t="shared" si="2"/>
        <v>9</v>
      </c>
      <c r="F14">
        <f t="shared" si="2"/>
        <v>4</v>
      </c>
      <c r="G14">
        <f t="shared" si="2"/>
        <v>10</v>
      </c>
      <c r="I14" t="s">
        <v>34</v>
      </c>
      <c r="J14">
        <v>1</v>
      </c>
      <c r="K14">
        <v>2</v>
      </c>
      <c r="L14">
        <v>3</v>
      </c>
      <c r="O14">
        <f t="shared" si="3"/>
        <v>18</v>
      </c>
      <c r="P14">
        <f t="shared" si="4"/>
        <v>40</v>
      </c>
      <c r="Q14">
        <f t="shared" ref="Q14" si="21">MOD(SUM(O14:P14),11)</f>
        <v>3</v>
      </c>
      <c r="R14" t="b">
        <f>Q14=B14</f>
        <v>1</v>
      </c>
      <c r="T14">
        <f t="shared" si="6"/>
        <v>63</v>
      </c>
      <c r="U14">
        <f t="shared" si="7"/>
        <v>50</v>
      </c>
      <c r="V14">
        <f t="shared" ref="V14" si="22">MOD(SUM(T14:U14),11)</f>
        <v>3</v>
      </c>
      <c r="W14" t="b">
        <f t="shared" si="9"/>
        <v>1</v>
      </c>
      <c r="Y14">
        <f t="shared" si="10"/>
        <v>12</v>
      </c>
      <c r="Z14">
        <f t="shared" si="11"/>
        <v>90</v>
      </c>
      <c r="AA14">
        <f t="shared" ref="AA14" si="23">MOD(SUM(Y14:Z14),11)</f>
        <v>3</v>
      </c>
      <c r="AB14" t="b">
        <f t="shared" si="13"/>
        <v>1</v>
      </c>
    </row>
    <row r="15" spans="1:28" x14ac:dyDescent="0.2">
      <c r="E15">
        <f>MOD(SUM(E8:E10,2),11)</f>
        <v>9</v>
      </c>
      <c r="F15">
        <f t="shared" ref="F15:G15" si="24">MOD(SUM(F8:F10,2),11)</f>
        <v>4</v>
      </c>
      <c r="G15">
        <f t="shared" si="24"/>
        <v>10</v>
      </c>
      <c r="Q15">
        <f t="shared" ref="Q15" si="25">MOD(SUM(Q8:Q10,2),11)</f>
        <v>3</v>
      </c>
      <c r="V15">
        <f t="shared" ref="V15" si="26">MOD(SUM(V8:V10,2),11)</f>
        <v>3</v>
      </c>
      <c r="AA15">
        <f t="shared" ref="AA15" si="27">MOD(SUM(AA8:AA10,2),11)</f>
        <v>3</v>
      </c>
    </row>
    <row r="16" spans="1:28" x14ac:dyDescent="0.2">
      <c r="I16" t="s">
        <v>23</v>
      </c>
      <c r="J16">
        <v>2</v>
      </c>
      <c r="K16">
        <v>5</v>
      </c>
      <c r="L16">
        <v>8</v>
      </c>
    </row>
    <row r="17" spans="1:28" x14ac:dyDescent="0.2">
      <c r="A17" t="s">
        <v>11</v>
      </c>
      <c r="B17">
        <f>MOD(SUM(B5,B8,10),11)</f>
        <v>5</v>
      </c>
      <c r="C17">
        <f>MOD(SUM(C5,C8),11)</f>
        <v>8</v>
      </c>
      <c r="E17">
        <f t="shared" ref="E17:G21" si="28">MOD($B17+($C17*E$3),11)</f>
        <v>2</v>
      </c>
      <c r="F17">
        <f t="shared" si="28"/>
        <v>10</v>
      </c>
      <c r="G17">
        <f t="shared" si="28"/>
        <v>7</v>
      </c>
      <c r="I17" t="s">
        <v>24</v>
      </c>
      <c r="J17">
        <v>4</v>
      </c>
      <c r="K17">
        <v>1</v>
      </c>
      <c r="L17">
        <v>6</v>
      </c>
      <c r="O17">
        <f t="shared" ref="O17" si="29">$E17*O$3</f>
        <v>4</v>
      </c>
      <c r="P17">
        <f t="shared" ref="P17" si="30">$F17*P$3</f>
        <v>100</v>
      </c>
      <c r="Q17">
        <f t="shared" ref="Q17" si="31">MOD(SUM(O17:P17),11)</f>
        <v>5</v>
      </c>
      <c r="R17" t="b">
        <f>Q17=B17</f>
        <v>1</v>
      </c>
      <c r="T17">
        <f t="shared" ref="T17" si="32">$E17*T$3</f>
        <v>14</v>
      </c>
      <c r="U17">
        <f t="shared" ref="U17" si="33">$G17*U$3</f>
        <v>35</v>
      </c>
      <c r="V17">
        <f t="shared" ref="V17" si="34">MOD(SUM(T17:U17),11)</f>
        <v>5</v>
      </c>
      <c r="W17" t="b">
        <f t="shared" ref="W17" si="35">V17=$B17</f>
        <v>1</v>
      </c>
      <c r="Y17">
        <f t="shared" ref="Y17" si="36">$F17*Y$3</f>
        <v>30</v>
      </c>
      <c r="Z17">
        <f t="shared" ref="Z17" si="37">$G17*Z$3</f>
        <v>63</v>
      </c>
      <c r="AA17">
        <f t="shared" ref="AA17" si="38">MOD(SUM(Y17:Z17),11)</f>
        <v>5</v>
      </c>
      <c r="AB17" t="b">
        <f t="shared" ref="AB17" si="39">AA17=$B17</f>
        <v>1</v>
      </c>
    </row>
    <row r="18" spans="1:28" x14ac:dyDescent="0.2">
      <c r="E18">
        <f>MOD(SUM(E5,E8,10),11)</f>
        <v>2</v>
      </c>
      <c r="F18">
        <f t="shared" ref="F18:G18" si="40">MOD(SUM(F5,F8,10),11)</f>
        <v>10</v>
      </c>
      <c r="G18">
        <f t="shared" si="40"/>
        <v>7</v>
      </c>
      <c r="I18" t="s">
        <v>25</v>
      </c>
      <c r="J18">
        <v>7</v>
      </c>
      <c r="K18">
        <v>9</v>
      </c>
      <c r="L18">
        <v>2</v>
      </c>
      <c r="Q18">
        <f t="shared" ref="Q18" si="41">MOD(SUM(Q5,Q8,10),11)</f>
        <v>5</v>
      </c>
      <c r="V18">
        <f t="shared" ref="V18" si="42">MOD(SUM(V5,V8,10),11)</f>
        <v>5</v>
      </c>
      <c r="AA18">
        <f t="shared" ref="AA18" si="43">MOD(SUM(AA5,AA8,10),11)</f>
        <v>5</v>
      </c>
    </row>
    <row r="19" spans="1:28" x14ac:dyDescent="0.2">
      <c r="A19" t="s">
        <v>12</v>
      </c>
      <c r="B19">
        <f>MOD(SUM(B6,B9,20),11)</f>
        <v>3</v>
      </c>
      <c r="C19">
        <f>MOD(SUM(C6,C9),11)</f>
        <v>0</v>
      </c>
      <c r="E19">
        <f t="shared" si="28"/>
        <v>3</v>
      </c>
      <c r="F19">
        <f t="shared" si="28"/>
        <v>3</v>
      </c>
      <c r="G19">
        <f t="shared" si="28"/>
        <v>3</v>
      </c>
      <c r="I19" t="s">
        <v>26</v>
      </c>
      <c r="J19">
        <v>6</v>
      </c>
      <c r="K19">
        <v>3</v>
      </c>
      <c r="L19">
        <v>4</v>
      </c>
      <c r="O19">
        <f t="shared" ref="O19" si="44">$E19*O$3</f>
        <v>6</v>
      </c>
      <c r="P19">
        <f t="shared" ref="P19" si="45">$F19*P$3</f>
        <v>30</v>
      </c>
      <c r="Q19">
        <f t="shared" ref="Q19" si="46">MOD(SUM(O19:P19),11)</f>
        <v>3</v>
      </c>
      <c r="R19" t="b">
        <f>Q19=B19</f>
        <v>1</v>
      </c>
      <c r="T19">
        <f t="shared" ref="T19" si="47">$E19*T$3</f>
        <v>21</v>
      </c>
      <c r="U19">
        <f t="shared" ref="U19" si="48">$G19*U$3</f>
        <v>15</v>
      </c>
      <c r="V19">
        <f t="shared" ref="V19" si="49">MOD(SUM(T19:U19),11)</f>
        <v>3</v>
      </c>
      <c r="W19" t="b">
        <f t="shared" ref="W19" si="50">V19=$B19</f>
        <v>1</v>
      </c>
      <c r="Y19">
        <f t="shared" ref="Y19" si="51">$F19*Y$3</f>
        <v>9</v>
      </c>
      <c r="Z19">
        <f t="shared" ref="Z19" si="52">$G19*Z$3</f>
        <v>27</v>
      </c>
      <c r="AA19">
        <f t="shared" ref="AA19" si="53">MOD(SUM(Y19:Z19),11)</f>
        <v>3</v>
      </c>
      <c r="AB19" t="b">
        <f t="shared" ref="AB19" si="54">AA19=$B19</f>
        <v>1</v>
      </c>
    </row>
    <row r="20" spans="1:28" x14ac:dyDescent="0.2">
      <c r="E20">
        <f>MOD(SUM(E6,E9,20),11)</f>
        <v>3</v>
      </c>
      <c r="F20">
        <f t="shared" ref="F20:G20" si="55">MOD(SUM(F6,F9,20),11)</f>
        <v>3</v>
      </c>
      <c r="G20">
        <f t="shared" si="55"/>
        <v>3</v>
      </c>
      <c r="I20" t="s">
        <v>27</v>
      </c>
      <c r="J20">
        <v>8</v>
      </c>
      <c r="K20">
        <v>7</v>
      </c>
      <c r="L20">
        <v>10</v>
      </c>
      <c r="Q20">
        <f t="shared" ref="Q20" si="56">MOD(SUM(Q6,Q9,20),11)</f>
        <v>3</v>
      </c>
      <c r="V20">
        <f t="shared" ref="V20" si="57">MOD(SUM(V6,V9,20),11)</f>
        <v>3</v>
      </c>
      <c r="AA20">
        <f t="shared" ref="AA20" si="58">MOD(SUM(AA6,AA9,20),11)</f>
        <v>3</v>
      </c>
    </row>
    <row r="21" spans="1:28" x14ac:dyDescent="0.2">
      <c r="A21" t="s">
        <v>13</v>
      </c>
      <c r="B21">
        <f>MOD(SUM(B7,B10,30),11)</f>
        <v>1</v>
      </c>
      <c r="C21">
        <f>MOD(SUM(C7,C10),11)</f>
        <v>3</v>
      </c>
      <c r="E21">
        <f t="shared" si="28"/>
        <v>4</v>
      </c>
      <c r="F21">
        <f t="shared" si="28"/>
        <v>7</v>
      </c>
      <c r="G21">
        <f t="shared" si="28"/>
        <v>10</v>
      </c>
      <c r="O21">
        <f t="shared" ref="O21" si="59">$E21*O$3</f>
        <v>8</v>
      </c>
      <c r="P21">
        <f t="shared" ref="P21" si="60">$F21*P$3</f>
        <v>70</v>
      </c>
      <c r="Q21">
        <f t="shared" ref="Q21" si="61">MOD(SUM(O21:P21),11)</f>
        <v>1</v>
      </c>
      <c r="R21" t="b">
        <f>Q21=B21</f>
        <v>1</v>
      </c>
      <c r="T21">
        <f t="shared" ref="T21" si="62">$E21*T$3</f>
        <v>28</v>
      </c>
      <c r="U21">
        <f t="shared" ref="U21" si="63">$G21*U$3</f>
        <v>50</v>
      </c>
      <c r="V21">
        <f t="shared" ref="V21" si="64">MOD(SUM(T21:U21),11)</f>
        <v>1</v>
      </c>
      <c r="W21" t="b">
        <f t="shared" ref="W21" si="65">V21=$B21</f>
        <v>1</v>
      </c>
      <c r="Y21">
        <f t="shared" ref="Y21" si="66">$F21*Y$3</f>
        <v>21</v>
      </c>
      <c r="Z21">
        <f t="shared" ref="Z21" si="67">$G21*Z$3</f>
        <v>90</v>
      </c>
      <c r="AA21">
        <f t="shared" ref="AA21" si="68">MOD(SUM(Y21:Z21),11)</f>
        <v>1</v>
      </c>
      <c r="AB21" t="b">
        <f t="shared" ref="AB21" si="69">AA21=$B21</f>
        <v>1</v>
      </c>
    </row>
    <row r="22" spans="1:28" x14ac:dyDescent="0.2">
      <c r="E22">
        <f>MOD(SUM(E7,E10,30),11)</f>
        <v>4</v>
      </c>
      <c r="F22">
        <f t="shared" ref="F22:G22" si="70">MOD(SUM(F7,F10,30),11)</f>
        <v>7</v>
      </c>
      <c r="G22">
        <f t="shared" si="70"/>
        <v>10</v>
      </c>
      <c r="Q22">
        <f t="shared" ref="Q22" si="71">MOD(SUM(Q7,Q10,30),11)</f>
        <v>1</v>
      </c>
      <c r="V22">
        <f t="shared" ref="V22" si="72">MOD(SUM(V7,V10,30),11)</f>
        <v>1</v>
      </c>
      <c r="AA22">
        <f t="shared" ref="AA22" si="73">MOD(SUM(AA7,AA10,30),11)</f>
        <v>1</v>
      </c>
    </row>
    <row r="24" spans="1:28" x14ac:dyDescent="0.2">
      <c r="A24" t="s">
        <v>14</v>
      </c>
      <c r="B24">
        <f>MOD(SUM(B5:B10,1,2,10,20,30),11)</f>
        <v>1</v>
      </c>
      <c r="C24">
        <f>MOD(SUM(C5:C10),11)</f>
        <v>0</v>
      </c>
      <c r="E24">
        <f>MOD($B24+($C24*E$3)+E3,11)</f>
        <v>2</v>
      </c>
      <c r="F24">
        <f t="shared" ref="F24:G24" si="74">MOD($B24+($C24*F$3)+F3,11)</f>
        <v>3</v>
      </c>
      <c r="G24">
        <f t="shared" si="74"/>
        <v>4</v>
      </c>
      <c r="O24">
        <f t="shared" ref="O24" si="75">$E24*O$3</f>
        <v>4</v>
      </c>
      <c r="P24">
        <f t="shared" ref="P24" si="76">$F24*P$3</f>
        <v>30</v>
      </c>
      <c r="Q24">
        <f t="shared" ref="Q24" si="77">MOD(SUM(O24:P24),11)</f>
        <v>1</v>
      </c>
      <c r="R24" t="b">
        <f>Q24=B24</f>
        <v>1</v>
      </c>
      <c r="T24">
        <f t="shared" ref="T24" si="78">$E24*T$3</f>
        <v>14</v>
      </c>
      <c r="U24">
        <f t="shared" ref="U24" si="79">$G24*U$3</f>
        <v>20</v>
      </c>
      <c r="V24">
        <f t="shared" ref="V24" si="80">MOD(SUM(T24:U24),11)</f>
        <v>1</v>
      </c>
      <c r="W24" t="b">
        <f t="shared" ref="W24" si="81">V24=$B24</f>
        <v>1</v>
      </c>
      <c r="Y24">
        <f t="shared" ref="Y24" si="82">$F24*Y$3</f>
        <v>9</v>
      </c>
      <c r="Z24">
        <f t="shared" ref="Z24" si="83">$G24*Z$3</f>
        <v>36</v>
      </c>
      <c r="AA24">
        <f t="shared" ref="AA24" si="84">MOD(SUM(Y24:Z24),11)</f>
        <v>1</v>
      </c>
      <c r="AB24" t="b">
        <f t="shared" ref="AB24" si="85">AA24=$B24</f>
        <v>1</v>
      </c>
    </row>
    <row r="25" spans="1:28" x14ac:dyDescent="0.2">
      <c r="E25">
        <f>MOD(SUM(E3,E5:E10,1,2,10,20,30),11)</f>
        <v>2</v>
      </c>
      <c r="F25">
        <f t="shared" ref="F25:G25" si="86">MOD(SUM(F5:F10,F3,1,2,10,20,30),11)</f>
        <v>3</v>
      </c>
      <c r="G25">
        <f t="shared" si="86"/>
        <v>4</v>
      </c>
      <c r="Q25">
        <f>MOD(SUM(Q5:Q10,1,2,10,20,30),11)</f>
        <v>1</v>
      </c>
      <c r="V25">
        <f>MOD(SUM(V5:V10,1,2,10,20,30),11)</f>
        <v>1</v>
      </c>
      <c r="AA25">
        <f>MOD(SUM(AA5:AA10,1,2,10,20,30),11)</f>
        <v>1</v>
      </c>
    </row>
    <row r="26" spans="1:28" x14ac:dyDescent="0.2">
      <c r="E26">
        <f>MOD(SUM(E3,E12,E14,10,20,30),11)</f>
        <v>2</v>
      </c>
      <c r="F26">
        <f t="shared" ref="F26:G26" si="87">MOD(SUM(F3,F12,F14,10,20,30),11)</f>
        <v>3</v>
      </c>
      <c r="G26">
        <f t="shared" si="87"/>
        <v>4</v>
      </c>
      <c r="Q26">
        <f>MOD(SUM(Q12,Q14,10,20,30),11)</f>
        <v>1</v>
      </c>
      <c r="V26">
        <f>MOD(SUM(V12,V14,10,20,30),11)</f>
        <v>1</v>
      </c>
      <c r="AA26">
        <f>MOD(SUM(AA12,AA14,10,20,30),11)</f>
        <v>1</v>
      </c>
    </row>
    <row r="27" spans="1:28" x14ac:dyDescent="0.2">
      <c r="E27">
        <f>MOD(SUM(E3,E17,E19,E21,1,2),11)</f>
        <v>2</v>
      </c>
      <c r="F27">
        <f t="shared" ref="F27:G27" si="88">MOD(SUM(F3,F17,F19,F21,1,2),11)</f>
        <v>3</v>
      </c>
      <c r="G27">
        <f t="shared" si="88"/>
        <v>4</v>
      </c>
      <c r="Q27">
        <f>MOD(SUM(Q17,Q19,Q21,1,2),11)</f>
        <v>1</v>
      </c>
      <c r="V27">
        <f>MOD(SUM(V17,V19,V21,1,2),11)</f>
        <v>1</v>
      </c>
      <c r="AA27">
        <f>MOD(SUM(AA17,AA19,AA21,1,2),11)</f>
        <v>1</v>
      </c>
    </row>
  </sheetData>
  <phoneticPr fontId="1" type="noConversion"/>
  <pageMargins left="0.7" right="0.7" top="0.75" bottom="0.75" header="0.3" footer="0.3"/>
  <ignoredErrors>
    <ignoredError sqref="B12:G12 B14:G15 B13:D13" formulaRange="1"/>
    <ignoredError sqref="E13:G13" formula="1" formulaRange="1"/>
    <ignoredError sqref="E18:G20 Q13:AA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65AA-C419-0D4A-97FE-536B382E437B}">
  <dimension ref="A1:AB30"/>
  <sheetViews>
    <sheetView zoomScaleNormal="100" workbookViewId="0"/>
  </sheetViews>
  <sheetFormatPr baseColWidth="10" defaultRowHeight="16" x14ac:dyDescent="0.2"/>
  <cols>
    <col min="1" max="1" width="17.33203125" bestFit="1" customWidth="1"/>
    <col min="2" max="28" width="4.83203125" customWidth="1"/>
  </cols>
  <sheetData>
    <row r="1" spans="1:28" x14ac:dyDescent="0.2">
      <c r="J1">
        <v>1</v>
      </c>
      <c r="Q1">
        <v>2</v>
      </c>
      <c r="X1">
        <v>3</v>
      </c>
    </row>
    <row r="3" spans="1:28" x14ac:dyDescent="0.2">
      <c r="A3" t="s">
        <v>18</v>
      </c>
      <c r="C3">
        <v>10</v>
      </c>
      <c r="D3">
        <v>20</v>
      </c>
      <c r="E3">
        <v>30</v>
      </c>
      <c r="J3">
        <v>10</v>
      </c>
      <c r="K3">
        <v>20</v>
      </c>
      <c r="L3">
        <v>30</v>
      </c>
      <c r="Q3">
        <v>10</v>
      </c>
      <c r="R3">
        <v>20</v>
      </c>
      <c r="S3">
        <v>30</v>
      </c>
      <c r="X3">
        <v>10</v>
      </c>
      <c r="Y3">
        <v>20</v>
      </c>
      <c r="Z3">
        <v>30</v>
      </c>
    </row>
    <row r="4" spans="1:28" x14ac:dyDescent="0.2">
      <c r="A4" t="s">
        <v>8</v>
      </c>
      <c r="B4">
        <v>1</v>
      </c>
      <c r="C4" t="s">
        <v>2</v>
      </c>
      <c r="D4" t="s">
        <v>3</v>
      </c>
      <c r="E4" t="s">
        <v>4</v>
      </c>
      <c r="F4" t="s">
        <v>9</v>
      </c>
      <c r="I4">
        <v>1</v>
      </c>
      <c r="J4" t="s">
        <v>2</v>
      </c>
      <c r="K4" t="s">
        <v>3</v>
      </c>
      <c r="L4" t="s">
        <v>4</v>
      </c>
      <c r="M4" t="s">
        <v>9</v>
      </c>
      <c r="N4" t="s">
        <v>29</v>
      </c>
      <c r="P4">
        <v>1</v>
      </c>
      <c r="Q4" t="s">
        <v>2</v>
      </c>
      <c r="R4" t="s">
        <v>3</v>
      </c>
      <c r="S4" t="s">
        <v>4</v>
      </c>
      <c r="T4" t="s">
        <v>9</v>
      </c>
      <c r="U4" t="s">
        <v>29</v>
      </c>
      <c r="W4">
        <v>1</v>
      </c>
      <c r="X4" t="s">
        <v>2</v>
      </c>
      <c r="Y4" t="s">
        <v>3</v>
      </c>
      <c r="Z4" t="s">
        <v>4</v>
      </c>
      <c r="AA4" t="s">
        <v>9</v>
      </c>
      <c r="AB4" t="s">
        <v>29</v>
      </c>
    </row>
    <row r="5" spans="1:28" x14ac:dyDescent="0.2">
      <c r="A5" t="s">
        <v>0</v>
      </c>
      <c r="C5">
        <v>1</v>
      </c>
      <c r="D5">
        <v>10</v>
      </c>
      <c r="E5">
        <v>3</v>
      </c>
      <c r="F5">
        <f>MOD(SUM(C5:E5,B4),11)</f>
        <v>4</v>
      </c>
      <c r="J5">
        <f>MOD(C5+(C6*$J$1),11)</f>
        <v>5</v>
      </c>
      <c r="K5">
        <f>MOD(D5+(D6*$J$1),11)</f>
        <v>0</v>
      </c>
      <c r="L5">
        <f>MOD(E5+(E6*$J$1),11)</f>
        <v>3</v>
      </c>
      <c r="M5">
        <f>MOD(F5+(F6*$J$1),11)</f>
        <v>9</v>
      </c>
      <c r="N5">
        <f>MOD(SUM($C18*J5,$D18*K5,$E18*L5,$G18),11)</f>
        <v>4</v>
      </c>
      <c r="Q5">
        <f>MOD(C5+(C6*$Q$1),11)</f>
        <v>9</v>
      </c>
      <c r="R5">
        <f t="shared" ref="R5:T5" si="0">MOD(D5+(D6*$Q$1),11)</f>
        <v>1</v>
      </c>
      <c r="S5">
        <f t="shared" si="0"/>
        <v>3</v>
      </c>
      <c r="T5">
        <f t="shared" si="0"/>
        <v>3</v>
      </c>
      <c r="U5">
        <f>MOD(SUM($C19*Q5,$D19*R5,$E19*S5,$G19),11)</f>
        <v>10</v>
      </c>
      <c r="X5">
        <f>MOD(C5+(C6*$X$1),11)</f>
        <v>2</v>
      </c>
      <c r="Y5">
        <f t="shared" ref="Y5:AA5" si="1">MOD(D5+(D6*$X$1),11)</f>
        <v>2</v>
      </c>
      <c r="Z5">
        <f t="shared" si="1"/>
        <v>3</v>
      </c>
      <c r="AA5">
        <f t="shared" si="1"/>
        <v>8</v>
      </c>
      <c r="AB5">
        <f>MOD(SUM($C20*X5,$D20*Y5,$E20*Z5,$G20),11)</f>
        <v>5</v>
      </c>
    </row>
    <row r="6" spans="1:28" x14ac:dyDescent="0.2">
      <c r="A6" t="s">
        <v>1</v>
      </c>
      <c r="C6">
        <v>4</v>
      </c>
      <c r="D6">
        <v>1</v>
      </c>
      <c r="E6">
        <v>0</v>
      </c>
      <c r="F6">
        <f>MOD(SUM(C6:E6),11)</f>
        <v>5</v>
      </c>
      <c r="M6">
        <f>MOD(SUM(J5:L5,I4),11)</f>
        <v>9</v>
      </c>
      <c r="T6">
        <f>MOD(SUM(Q5:S5,P4),11)</f>
        <v>3</v>
      </c>
      <c r="AA6">
        <f>MOD(SUM(X5:Z5,W4),11)</f>
        <v>8</v>
      </c>
    </row>
    <row r="8" spans="1:28" x14ac:dyDescent="0.2">
      <c r="A8" t="s">
        <v>8</v>
      </c>
      <c r="B8">
        <v>2</v>
      </c>
      <c r="C8" t="s">
        <v>5</v>
      </c>
      <c r="D8" t="s">
        <v>6</v>
      </c>
      <c r="E8" t="s">
        <v>7</v>
      </c>
      <c r="F8" t="s">
        <v>10</v>
      </c>
      <c r="I8">
        <v>2</v>
      </c>
      <c r="J8" t="s">
        <v>5</v>
      </c>
      <c r="K8" t="s">
        <v>6</v>
      </c>
      <c r="L8" t="s">
        <v>7</v>
      </c>
      <c r="M8" t="s">
        <v>10</v>
      </c>
      <c r="N8" t="s">
        <v>28</v>
      </c>
      <c r="P8">
        <v>2</v>
      </c>
      <c r="Q8" t="s">
        <v>5</v>
      </c>
      <c r="R8" t="s">
        <v>6</v>
      </c>
      <c r="S8" t="s">
        <v>7</v>
      </c>
      <c r="T8" t="s">
        <v>10</v>
      </c>
      <c r="U8" t="s">
        <v>28</v>
      </c>
      <c r="W8">
        <v>2</v>
      </c>
      <c r="X8" t="s">
        <v>5</v>
      </c>
      <c r="Y8" t="s">
        <v>6</v>
      </c>
      <c r="Z8" t="s">
        <v>7</v>
      </c>
      <c r="AA8" t="s">
        <v>10</v>
      </c>
      <c r="AB8" t="s">
        <v>28</v>
      </c>
    </row>
    <row r="9" spans="1:28" x14ac:dyDescent="0.2">
      <c r="A9" t="s">
        <v>0</v>
      </c>
      <c r="C9">
        <v>5</v>
      </c>
      <c r="D9">
        <v>6</v>
      </c>
      <c r="E9">
        <v>1</v>
      </c>
      <c r="F9">
        <f>MOD(SUM(C9:E9,B8),11)</f>
        <v>3</v>
      </c>
      <c r="J9">
        <f>MOD(C9+(C10*$J$1),11)</f>
        <v>9</v>
      </c>
      <c r="K9">
        <f>MOD(D9+(D10*$J$1),11)</f>
        <v>5</v>
      </c>
      <c r="L9">
        <f>MOD(E9+(E10*$J$1),11)</f>
        <v>4</v>
      </c>
      <c r="M9">
        <f>MOD(F9+(F10*$J$1),11)</f>
        <v>9</v>
      </c>
      <c r="N9">
        <f>MOD(SUM($C18*J9,$D18*K9,$E18*L9,$H18),11)</f>
        <v>8</v>
      </c>
      <c r="Q9">
        <f>MOD(C9+(C10*$Q$1),11)</f>
        <v>2</v>
      </c>
      <c r="R9">
        <f t="shared" ref="R9:T9" si="2">MOD(D9+(D10*$Q$1),11)</f>
        <v>4</v>
      </c>
      <c r="S9">
        <f t="shared" si="2"/>
        <v>7</v>
      </c>
      <c r="T9">
        <f t="shared" si="2"/>
        <v>4</v>
      </c>
      <c r="U9">
        <f>MOD(SUM($C19*Q9,$D19*R9,$E19*S9,$H19),11)</f>
        <v>7</v>
      </c>
      <c r="X9">
        <f>MOD(C9+(C10*$X$1),11)</f>
        <v>6</v>
      </c>
      <c r="Y9">
        <f t="shared" ref="Y9:AA9" si="3">MOD(D9+(D10*$X$1),11)</f>
        <v>3</v>
      </c>
      <c r="Z9">
        <f t="shared" si="3"/>
        <v>10</v>
      </c>
      <c r="AA9">
        <f t="shared" si="3"/>
        <v>10</v>
      </c>
      <c r="AB9">
        <f>MOD(SUM($C20*X9,$D20*Y9,$E20*Z9,$H20),11)</f>
        <v>8</v>
      </c>
    </row>
    <row r="10" spans="1:28" x14ac:dyDescent="0.2">
      <c r="A10" t="s">
        <v>1</v>
      </c>
      <c r="C10">
        <v>4</v>
      </c>
      <c r="D10">
        <v>10</v>
      </c>
      <c r="E10">
        <v>3</v>
      </c>
      <c r="F10">
        <f>MOD(SUM(C10:E10),11)</f>
        <v>6</v>
      </c>
      <c r="M10">
        <f>MOD(SUM(J9:L9,I8),11)</f>
        <v>9</v>
      </c>
      <c r="T10">
        <f>MOD(SUM(Q9:S9,P8),11)</f>
        <v>4</v>
      </c>
      <c r="AA10">
        <f>MOD(SUM(X9:Z9,W8),11)</f>
        <v>10</v>
      </c>
    </row>
    <row r="12" spans="1:28" x14ac:dyDescent="0.2">
      <c r="C12" t="s">
        <v>11</v>
      </c>
      <c r="D12" t="s">
        <v>12</v>
      </c>
      <c r="E12" t="s">
        <v>13</v>
      </c>
      <c r="F12" t="s">
        <v>14</v>
      </c>
    </row>
    <row r="13" spans="1:28" x14ac:dyDescent="0.2">
      <c r="A13" t="s">
        <v>0</v>
      </c>
      <c r="C13">
        <f>MOD(SUM(C5,C9,C3),11)</f>
        <v>5</v>
      </c>
      <c r="D13">
        <f>MOD(SUM(D5,D9,D3),11)</f>
        <v>3</v>
      </c>
      <c r="E13">
        <f>MOD(SUM(E5,E9,E3),11)</f>
        <v>1</v>
      </c>
      <c r="F13">
        <f>MOD(SUM(C3:E3,B4,B8,C5:E5,C9:E9),11)</f>
        <v>1</v>
      </c>
      <c r="G13">
        <f>MOD(SUM(C3:E3,F5,F9),11)</f>
        <v>1</v>
      </c>
      <c r="J13">
        <f>MOD(C13+(C14*$J$1),11)</f>
        <v>2</v>
      </c>
      <c r="K13">
        <f>MOD(D13+(D14*$J$1),11)</f>
        <v>3</v>
      </c>
      <c r="L13">
        <f>MOD(E13+(E14*$J$1),11)</f>
        <v>4</v>
      </c>
      <c r="M13">
        <f>MOD(F13+(F14*$J$1)+J1,11)</f>
        <v>2</v>
      </c>
      <c r="N13">
        <f>MOD(SUM(J3:L3,M5,M9,J1),11)</f>
        <v>2</v>
      </c>
      <c r="Q13">
        <f>MOD(C13+(C14*$Q$1),11)</f>
        <v>10</v>
      </c>
      <c r="R13">
        <f t="shared" ref="R13:S13" si="4">MOD(D13+(D14*$Q$1),11)</f>
        <v>3</v>
      </c>
      <c r="S13">
        <f t="shared" si="4"/>
        <v>7</v>
      </c>
      <c r="T13">
        <f>MOD(F13+(F14*$Q$1)+Q1,11)</f>
        <v>3</v>
      </c>
      <c r="U13">
        <f>MOD(SUM(Q3:S3,T5,T9,Q1),11)</f>
        <v>3</v>
      </c>
      <c r="X13">
        <f>MOD(C13+(C14*$X$1),11)</f>
        <v>7</v>
      </c>
      <c r="Y13">
        <f t="shared" ref="Y13:Z13" si="5">MOD(D13+(D14*$X$1),11)</f>
        <v>3</v>
      </c>
      <c r="Z13">
        <f t="shared" si="5"/>
        <v>10</v>
      </c>
      <c r="AA13">
        <f>MOD(F13+(F14*$X$1)+X1,11)</f>
        <v>4</v>
      </c>
      <c r="AB13">
        <f>MOD(SUM(X3:Z3,AA5,AA9,X1),11)</f>
        <v>4</v>
      </c>
    </row>
    <row r="14" spans="1:28" x14ac:dyDescent="0.2">
      <c r="A14" t="s">
        <v>1</v>
      </c>
      <c r="C14">
        <f>MOD(SUM(C6,C10),11)</f>
        <v>8</v>
      </c>
      <c r="D14">
        <f>MOD(SUM(D6,D10),11)</f>
        <v>0</v>
      </c>
      <c r="E14">
        <f>MOD(SUM(E6,E10),11)</f>
        <v>3</v>
      </c>
      <c r="F14">
        <f>MOD(SUM(C6:E6,C10:E10),11)</f>
        <v>0</v>
      </c>
      <c r="G14">
        <f>MOD(SUM(B4,B8,C13:E13),11)</f>
        <v>1</v>
      </c>
      <c r="J14">
        <f>MOD(SUM(J3,J5,J9),11)</f>
        <v>2</v>
      </c>
      <c r="K14">
        <f>MOD(SUM(K3,K5,K9),11)</f>
        <v>3</v>
      </c>
      <c r="L14">
        <f>MOD(SUM(L3,L5,L9),11)</f>
        <v>4</v>
      </c>
      <c r="N14">
        <f>MOD(SUM(I4,I8,J13:L13,J1),11)</f>
        <v>2</v>
      </c>
      <c r="Q14">
        <f>MOD(SUM(Q3,Q5,Q9),11)</f>
        <v>10</v>
      </c>
      <c r="R14">
        <f>MOD(SUM(R3,R5,R9),11)</f>
        <v>3</v>
      </c>
      <c r="S14">
        <f>MOD(SUM(S3,S5,S9),11)</f>
        <v>7</v>
      </c>
      <c r="U14">
        <f>MOD(SUM(P4,P8,Q13:S13,Q1),11)</f>
        <v>3</v>
      </c>
      <c r="X14">
        <f>MOD(SUM(X3,X5,X9),11)</f>
        <v>7</v>
      </c>
      <c r="Y14">
        <f>MOD(SUM(Y3,Y5,Y9),11)</f>
        <v>3</v>
      </c>
      <c r="Z14">
        <f>MOD(SUM(Z3,Z5,Z9),11)</f>
        <v>10</v>
      </c>
      <c r="AB14">
        <f>MOD(SUM(W4,W8,X13:Z13,X1),11)</f>
        <v>4</v>
      </c>
    </row>
    <row r="15" spans="1:28" x14ac:dyDescent="0.2">
      <c r="G15">
        <f>MOD(SUM(C3:E3,B4,B8,C5:E5,C9:E9),11)</f>
        <v>1</v>
      </c>
      <c r="N15">
        <f>MOD(SUM(J3:L3,I4,I8,J5:L5,J9:L9,J1),11)</f>
        <v>2</v>
      </c>
      <c r="U15">
        <f>MOD(SUM(Q3:S3,P4,P8,Q5:S5,Q9:S9,Q1),11)</f>
        <v>3</v>
      </c>
      <c r="AB15">
        <f>MOD(SUM(X3:Z3,W4,W8,X5:Z5,X9:Z9,X1),11)</f>
        <v>4</v>
      </c>
    </row>
    <row r="17" spans="1:8" x14ac:dyDescent="0.2">
      <c r="A17" t="s">
        <v>35</v>
      </c>
      <c r="C17" t="s">
        <v>23</v>
      </c>
      <c r="D17" t="s">
        <v>24</v>
      </c>
      <c r="E17" t="s">
        <v>25</v>
      </c>
      <c r="G17" t="s">
        <v>26</v>
      </c>
      <c r="H17" t="s">
        <v>27</v>
      </c>
    </row>
    <row r="18" spans="1:8" x14ac:dyDescent="0.2">
      <c r="A18" t="s">
        <v>30</v>
      </c>
      <c r="C18">
        <v>2</v>
      </c>
      <c r="D18">
        <v>4</v>
      </c>
      <c r="E18">
        <v>7</v>
      </c>
      <c r="G18">
        <v>6</v>
      </c>
      <c r="H18">
        <v>8</v>
      </c>
    </row>
    <row r="19" spans="1:8" x14ac:dyDescent="0.2">
      <c r="A19" t="s">
        <v>31</v>
      </c>
      <c r="C19">
        <v>5</v>
      </c>
      <c r="D19">
        <v>1</v>
      </c>
      <c r="E19">
        <v>9</v>
      </c>
      <c r="G19">
        <v>3</v>
      </c>
      <c r="H19">
        <v>7</v>
      </c>
    </row>
    <row r="20" spans="1:8" x14ac:dyDescent="0.2">
      <c r="A20" t="s">
        <v>32</v>
      </c>
      <c r="C20">
        <v>8</v>
      </c>
      <c r="D20">
        <v>6</v>
      </c>
      <c r="E20">
        <v>2</v>
      </c>
      <c r="G20">
        <v>4</v>
      </c>
      <c r="H20">
        <v>10</v>
      </c>
    </row>
    <row r="22" spans="1:8" x14ac:dyDescent="0.2">
      <c r="A22" t="s">
        <v>36</v>
      </c>
    </row>
    <row r="23" spans="1:8" x14ac:dyDescent="0.2">
      <c r="A23" t="s">
        <v>30</v>
      </c>
      <c r="C23">
        <v>2</v>
      </c>
      <c r="D23">
        <v>7</v>
      </c>
      <c r="E23">
        <v>2</v>
      </c>
      <c r="G23">
        <v>8</v>
      </c>
      <c r="H23">
        <v>9</v>
      </c>
    </row>
    <row r="24" spans="1:8" x14ac:dyDescent="0.2">
      <c r="A24" t="s">
        <v>31</v>
      </c>
      <c r="C24">
        <v>6</v>
      </c>
      <c r="D24">
        <v>5</v>
      </c>
      <c r="E24">
        <v>0</v>
      </c>
      <c r="G24">
        <v>10</v>
      </c>
      <c r="H24">
        <v>1</v>
      </c>
    </row>
    <row r="25" spans="1:8" x14ac:dyDescent="0.2">
      <c r="A25" t="s">
        <v>32</v>
      </c>
      <c r="C25">
        <v>7</v>
      </c>
      <c r="D25">
        <v>3</v>
      </c>
      <c r="E25">
        <v>0</v>
      </c>
      <c r="G25">
        <v>4</v>
      </c>
      <c r="H25">
        <v>3</v>
      </c>
    </row>
    <row r="27" spans="1:8" x14ac:dyDescent="0.2">
      <c r="A27" t="s">
        <v>37</v>
      </c>
    </row>
    <row r="28" spans="1:8" x14ac:dyDescent="0.2">
      <c r="A28" t="s">
        <v>30</v>
      </c>
      <c r="C28">
        <f>MOD(C18-C23,11)</f>
        <v>0</v>
      </c>
      <c r="D28">
        <f t="shared" ref="D28:H28" si="6">MOD(D18-D23,11)</f>
        <v>8</v>
      </c>
      <c r="E28">
        <f t="shared" si="6"/>
        <v>5</v>
      </c>
      <c r="G28">
        <f t="shared" si="6"/>
        <v>9</v>
      </c>
      <c r="H28">
        <f t="shared" si="6"/>
        <v>10</v>
      </c>
    </row>
    <row r="29" spans="1:8" x14ac:dyDescent="0.2">
      <c r="A29" t="s">
        <v>31</v>
      </c>
      <c r="C29">
        <f t="shared" ref="C29:H30" si="7">MOD(C19-C24,11)</f>
        <v>10</v>
      </c>
      <c r="D29">
        <f t="shared" si="7"/>
        <v>7</v>
      </c>
      <c r="E29">
        <f t="shared" si="7"/>
        <v>9</v>
      </c>
      <c r="G29">
        <f t="shared" si="7"/>
        <v>4</v>
      </c>
      <c r="H29">
        <f t="shared" si="7"/>
        <v>6</v>
      </c>
    </row>
    <row r="30" spans="1:8" x14ac:dyDescent="0.2">
      <c r="A30" t="s">
        <v>32</v>
      </c>
      <c r="C30">
        <f t="shared" si="7"/>
        <v>1</v>
      </c>
      <c r="D30">
        <f t="shared" si="7"/>
        <v>3</v>
      </c>
      <c r="E30">
        <f t="shared" si="7"/>
        <v>2</v>
      </c>
      <c r="G30">
        <f t="shared" si="7"/>
        <v>0</v>
      </c>
      <c r="H30">
        <f t="shared" si="7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View</vt:lpstr>
      <vt:lpstr>Table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Schiavinato Lopez</dc:creator>
  <cp:lastModifiedBy>Renato Schiavinato Lopez</cp:lastModifiedBy>
  <dcterms:created xsi:type="dcterms:W3CDTF">2026-06-04T17:25:28Z</dcterms:created>
  <dcterms:modified xsi:type="dcterms:W3CDTF">2026-07-28T00:20:46Z</dcterms:modified>
</cp:coreProperties>
</file>